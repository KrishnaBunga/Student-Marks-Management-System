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lan A\"/>
    </mc:Choice>
  </mc:AlternateContent>
  <xr:revisionPtr revIDLastSave="0" documentId="8_{5C4922AF-9259-4602-B202-5B8AF580F58C}" xr6:coauthVersionLast="47" xr6:coauthVersionMax="47" xr10:uidLastSave="{00000000-0000-0000-0000-000000000000}"/>
  <bookViews>
    <workbookView xWindow="-108" yWindow="-108" windowWidth="23256" windowHeight="13176" activeTab="2" xr2:uid="{61D83A85-CD47-4CCC-A7A1-A79B4431DA2C}"/>
  </bookViews>
  <sheets>
    <sheet name="Sheet2" sheetId="2" r:id="rId1"/>
    <sheet name="Sheet3" sheetId="3" r:id="rId2"/>
    <sheet name="Dashboard" sheetId="5" r:id="rId3"/>
    <sheet name="Sheet1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6" i="5" l="1"/>
  <c r="L7" i="5"/>
  <c r="L6" i="5"/>
  <c r="L5" i="5"/>
  <c r="L4" i="5"/>
  <c r="L3" i="5"/>
  <c r="L16" i="5"/>
  <c r="L15" i="5"/>
  <c r="L14" i="5"/>
  <c r="H4" i="2"/>
  <c r="H5" i="2"/>
  <c r="H6" i="2"/>
  <c r="H7" i="2"/>
  <c r="H8" i="2"/>
  <c r="H9" i="2"/>
  <c r="H10" i="2"/>
  <c r="H11" i="2"/>
  <c r="M5" i="2"/>
  <c r="M6" i="2"/>
  <c r="M7" i="2"/>
  <c r="M8" i="2"/>
  <c r="M9" i="2"/>
  <c r="M10" i="2"/>
  <c r="M11" i="2"/>
  <c r="M4" i="2"/>
  <c r="M3" i="2"/>
  <c r="M2" i="2"/>
  <c r="F11" i="2"/>
  <c r="J4" i="2"/>
  <c r="J5" i="2"/>
  <c r="J6" i="2"/>
  <c r="J7" i="2"/>
  <c r="J8" i="2"/>
  <c r="J9" i="2"/>
  <c r="J10" i="2"/>
  <c r="J11" i="2"/>
  <c r="J3" i="2"/>
  <c r="J2" i="2"/>
  <c r="I4" i="2"/>
  <c r="I5" i="2"/>
  <c r="I6" i="2"/>
  <c r="I7" i="2"/>
  <c r="I8" i="2"/>
  <c r="I9" i="2"/>
  <c r="I10" i="2"/>
  <c r="I11" i="2"/>
  <c r="I3" i="2"/>
  <c r="I2" i="2"/>
  <c r="H2" i="2"/>
  <c r="H3" i="2"/>
  <c r="G4" i="2"/>
  <c r="G5" i="2"/>
  <c r="G6" i="2"/>
  <c r="G7" i="2"/>
  <c r="G8" i="2"/>
  <c r="G9" i="2"/>
  <c r="G10" i="2"/>
  <c r="G11" i="2"/>
  <c r="G3" i="2"/>
  <c r="G2" i="2"/>
  <c r="F4" i="2"/>
  <c r="F5" i="2"/>
  <c r="F6" i="2"/>
  <c r="F7" i="2"/>
  <c r="F8" i="2"/>
  <c r="F9" i="2"/>
  <c r="F10" i="2"/>
  <c r="F2" i="2"/>
  <c r="F3" i="2" s="1"/>
  <c r="K2" i="2" s="1"/>
  <c r="L2" i="2" l="1"/>
  <c r="O2" i="2" s="1"/>
</calcChain>
</file>

<file path=xl/sharedStrings.xml><?xml version="1.0" encoding="utf-8"?>
<sst xmlns="http://schemas.openxmlformats.org/spreadsheetml/2006/main" count="70" uniqueCount="46">
  <si>
    <t>Krishna</t>
  </si>
  <si>
    <t>Prasad</t>
  </si>
  <si>
    <t>Pavan</t>
  </si>
  <si>
    <t>Anil</t>
  </si>
  <si>
    <t>NAMES</t>
  </si>
  <si>
    <t xml:space="preserve">Aman </t>
  </si>
  <si>
    <t>Satya</t>
  </si>
  <si>
    <t>Sappa</t>
  </si>
  <si>
    <t>Ammu</t>
  </si>
  <si>
    <t>Sindhu</t>
  </si>
  <si>
    <t>Sanjana</t>
  </si>
  <si>
    <t>MATHS</t>
  </si>
  <si>
    <t>SCIENCE</t>
  </si>
  <si>
    <t>ENGLISH</t>
  </si>
  <si>
    <t>TOTAL</t>
  </si>
  <si>
    <t>AVERAGE</t>
  </si>
  <si>
    <t>RESULT</t>
  </si>
  <si>
    <t>MAX</t>
  </si>
  <si>
    <t>MIN</t>
  </si>
  <si>
    <t>MAX TOTAL</t>
  </si>
  <si>
    <t>MIN TOTAL</t>
  </si>
  <si>
    <t>Row Labels</t>
  </si>
  <si>
    <t>Grand Total</t>
  </si>
  <si>
    <t>Sum of TOTAL</t>
  </si>
  <si>
    <t>STUDENT MARKS MANAGEMENT SYSTEM</t>
  </si>
  <si>
    <t>Total Students</t>
  </si>
  <si>
    <t>Class Average</t>
  </si>
  <si>
    <t>Highest Marks</t>
  </si>
  <si>
    <t>Lowest marks</t>
  </si>
  <si>
    <t>Students Passed</t>
  </si>
  <si>
    <t>Students Failed</t>
  </si>
  <si>
    <t>GRADE</t>
  </si>
  <si>
    <t>STUDENT ID</t>
  </si>
  <si>
    <t>COUNT</t>
  </si>
  <si>
    <t>A+</t>
  </si>
  <si>
    <t>B</t>
  </si>
  <si>
    <t>C</t>
  </si>
  <si>
    <t>F</t>
  </si>
  <si>
    <t>A</t>
  </si>
  <si>
    <t>SUBJECT</t>
  </si>
  <si>
    <t>Maths</t>
  </si>
  <si>
    <t>Science</t>
  </si>
  <si>
    <t>English</t>
  </si>
  <si>
    <t>Overall Percentage</t>
  </si>
  <si>
    <t>GRADE SUMMARY</t>
  </si>
  <si>
    <t>SUB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</si>
</sst>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Student-wise Total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Sheet2!$N$2:$N$11</c:f>
              <c:strCache>
                <c:ptCount val="10"/>
                <c:pt idx="0">
                  <c:v>Aman </c:v>
                </c:pt>
                <c:pt idx="1">
                  <c:v>Pavan</c:v>
                </c:pt>
                <c:pt idx="2">
                  <c:v>Krishna</c:v>
                </c:pt>
                <c:pt idx="3">
                  <c:v>Anil</c:v>
                </c:pt>
                <c:pt idx="4">
                  <c:v>Prasad</c:v>
                </c:pt>
                <c:pt idx="5">
                  <c:v>Satya</c:v>
                </c:pt>
                <c:pt idx="6">
                  <c:v>Sappa</c:v>
                </c:pt>
                <c:pt idx="7">
                  <c:v>Ammu</c:v>
                </c:pt>
                <c:pt idx="8">
                  <c:v>Sindhu</c:v>
                </c:pt>
                <c:pt idx="9">
                  <c:v>Sanjana</c:v>
                </c:pt>
              </c:strCache>
            </c:strRef>
          </c:cat>
          <c:val>
            <c:numRef>
              <c:f>Sheet2!$O$2:$O$11</c:f>
              <c:numCache>
                <c:formatCode>General</c:formatCode>
                <c:ptCount val="10"/>
                <c:pt idx="0">
                  <c:v>253</c:v>
                </c:pt>
                <c:pt idx="1">
                  <c:v>263</c:v>
                </c:pt>
                <c:pt idx="2">
                  <c:v>253</c:v>
                </c:pt>
                <c:pt idx="3">
                  <c:v>257</c:v>
                </c:pt>
                <c:pt idx="4">
                  <c:v>274</c:v>
                </c:pt>
                <c:pt idx="5">
                  <c:v>285</c:v>
                </c:pt>
                <c:pt idx="6">
                  <c:v>278</c:v>
                </c:pt>
                <c:pt idx="7">
                  <c:v>271</c:v>
                </c:pt>
                <c:pt idx="8">
                  <c:v>267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B-456D-8B1A-9EB40940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134992"/>
        <c:axId val="948358160"/>
      </c:barChart>
      <c:catAx>
        <c:axId val="119813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58160"/>
        <c:crosses val="autoZero"/>
        <c:auto val="1"/>
        <c:lblAlgn val="ctr"/>
        <c:lblOffset val="100"/>
        <c:noMultiLvlLbl val="0"/>
      </c:catAx>
      <c:valAx>
        <c:axId val="9483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[Student-Marks-Management-System.xlsx]Sheet3!PivotTable1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Sheet3!$A$2:$A$12</c:f>
              <c:strCache>
                <c:ptCount val="10"/>
                <c:pt idx="0">
                  <c:v>Aman </c:v>
                </c:pt>
                <c:pt idx="1">
                  <c:v>Ammu</c:v>
                </c:pt>
                <c:pt idx="2">
                  <c:v>Anil</c:v>
                </c:pt>
                <c:pt idx="3">
                  <c:v>Krishna</c:v>
                </c:pt>
                <c:pt idx="4">
                  <c:v>Pavan</c:v>
                </c:pt>
                <c:pt idx="5">
                  <c:v>Prasad</c:v>
                </c:pt>
                <c:pt idx="6">
                  <c:v>Sanjana</c:v>
                </c:pt>
                <c:pt idx="7">
                  <c:v>Sappa</c:v>
                </c:pt>
                <c:pt idx="8">
                  <c:v>Satya</c:v>
                </c:pt>
                <c:pt idx="9">
                  <c:v>Sindhu</c:v>
                </c:pt>
              </c:strCache>
            </c:strRef>
          </c:cat>
          <c:val>
            <c:numRef>
              <c:f>Sheet3!$B$2:$B$12</c:f>
              <c:numCache>
                <c:formatCode>General</c:formatCode>
                <c:ptCount val="10"/>
                <c:pt idx="0">
                  <c:v>259</c:v>
                </c:pt>
                <c:pt idx="1">
                  <c:v>271</c:v>
                </c:pt>
                <c:pt idx="2">
                  <c:v>257</c:v>
                </c:pt>
                <c:pt idx="3">
                  <c:v>253</c:v>
                </c:pt>
                <c:pt idx="4">
                  <c:v>263</c:v>
                </c:pt>
                <c:pt idx="5">
                  <c:v>274</c:v>
                </c:pt>
                <c:pt idx="6">
                  <c:v>269</c:v>
                </c:pt>
                <c:pt idx="7">
                  <c:v>278</c:v>
                </c:pt>
                <c:pt idx="8">
                  <c:v>285</c:v>
                </c:pt>
                <c:pt idx="9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9-4E29-A5C8-34AD28A01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741183"/>
        <c:axId val="1272519055"/>
      </c:barChart>
      <c:catAx>
        <c:axId val="126874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19055"/>
        <c:crosses val="autoZero"/>
        <c:auto val="1"/>
        <c:lblAlgn val="ctr"/>
        <c:lblOffset val="100"/>
        <c:noMultiLvlLbl val="0"/>
      </c:catAx>
      <c:valAx>
        <c:axId val="12725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Dashboard!$L$2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F-44E8-B1BE-D0B1F2A026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F-44E8-B1BE-D0B1F2A026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DF-44E8-B1BE-D0B1F2A026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DF-44E8-B1BE-D0B1F2A026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DF-44E8-B1BE-D0B1F2A026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Dashboard!$K$3:$K$7</c:f>
              <c:strCache>
                <c:ptCount val="5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F</c:v>
                </c:pt>
              </c:strCache>
            </c:strRef>
          </c:cat>
          <c:val>
            <c:numRef>
              <c:f>Dashboard!$L$3:$L$7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6-4C88-8552-DC2A8F44C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[Student-Marks-Management-System.xlsx]Sheet3!PivotTable1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Student-wise Total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Sheet3!$A$2:$A$12</c:f>
              <c:strCache>
                <c:ptCount val="10"/>
                <c:pt idx="0">
                  <c:v>Aman </c:v>
                </c:pt>
                <c:pt idx="1">
                  <c:v>Ammu</c:v>
                </c:pt>
                <c:pt idx="2">
                  <c:v>Anil</c:v>
                </c:pt>
                <c:pt idx="3">
                  <c:v>Krishna</c:v>
                </c:pt>
                <c:pt idx="4">
                  <c:v>Pavan</c:v>
                </c:pt>
                <c:pt idx="5">
                  <c:v>Prasad</c:v>
                </c:pt>
                <c:pt idx="6">
                  <c:v>Sanjana</c:v>
                </c:pt>
                <c:pt idx="7">
                  <c:v>Sappa</c:v>
                </c:pt>
                <c:pt idx="8">
                  <c:v>Satya</c:v>
                </c:pt>
                <c:pt idx="9">
                  <c:v>Sindhu</c:v>
                </c:pt>
              </c:strCache>
            </c:strRef>
          </c:cat>
          <c:val>
            <c:numRef>
              <c:f>Sheet3!$B$2:$B$12</c:f>
              <c:numCache>
                <c:formatCode>General</c:formatCode>
                <c:ptCount val="10"/>
                <c:pt idx="0">
                  <c:v>259</c:v>
                </c:pt>
                <c:pt idx="1">
                  <c:v>271</c:v>
                </c:pt>
                <c:pt idx="2">
                  <c:v>257</c:v>
                </c:pt>
                <c:pt idx="3">
                  <c:v>253</c:v>
                </c:pt>
                <c:pt idx="4">
                  <c:v>263</c:v>
                </c:pt>
                <c:pt idx="5">
                  <c:v>274</c:v>
                </c:pt>
                <c:pt idx="6">
                  <c:v>269</c:v>
                </c:pt>
                <c:pt idx="7">
                  <c:v>278</c:v>
                </c:pt>
                <c:pt idx="8">
                  <c:v>285</c:v>
                </c:pt>
                <c:pt idx="9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C-4AD1-9AD5-C5DD04A4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741183"/>
        <c:axId val="1272519055"/>
      </c:barChart>
      <c:catAx>
        <c:axId val="126874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19055"/>
        <c:crosses val="autoZero"/>
        <c:auto val="1"/>
        <c:lblAlgn val="ctr"/>
        <c:lblOffset val="100"/>
        <c:noMultiLvlLbl val="0"/>
      </c:catAx>
      <c:valAx>
        <c:axId val="12725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Subject-wise Average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Dashboard!$L$13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Dashboard!$K$14:$K$16</c:f>
              <c:strCache>
                <c:ptCount val="3"/>
                <c:pt idx="0">
                  <c:v>Maths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Dashboard!$L$14:$L$16</c:f>
              <c:numCache>
                <c:formatCode>General</c:formatCode>
                <c:ptCount val="3"/>
                <c:pt idx="0">
                  <c:v>87.3</c:v>
                </c:pt>
                <c:pt idx="1">
                  <c:v>90.2</c:v>
                </c:pt>
                <c:pt idx="2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6-49B7-B55E-9E3C2C94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900143"/>
        <c:axId val="1821655407"/>
      </c:barChart>
      <c:catAx>
        <c:axId val="199590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55407"/>
        <c:crosses val="autoZero"/>
        <c:auto val="1"/>
        <c:lblAlgn val="ctr"/>
        <c:lblOffset val="100"/>
        <c:noMultiLvlLbl val="0"/>
      </c:catAx>
      <c:valAx>
        <c:axId val="18216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0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15</xdr:row>
      <xdr:rowOff>106680</xdr:rowOff>
    </xdr:from>
    <xdr:to>
      <xdr:col>14</xdr:col>
      <xdr:colOff>190500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6ED79-B548-4FC9-D2DB-2BDC65955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60D13-7D51-4BA7-3043-B7215CB73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594731</xdr:colOff>
      <xdr:row>3</xdr:row>
      <xdr:rowOff>6195</xdr:rowOff>
    </xdr:from>
    <xdr:to>
      <xdr:col>16</xdr:col>
      <xdr:colOff>578554</xdr:colOff>
      <xdr:row>14</xdr:row>
      <xdr:rowOff>49561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752098-79A4-60DD-1B05-BDBD305AC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18584</xdr:colOff>
      <xdr:row>7</xdr:row>
      <xdr:rowOff>37170</xdr:rowOff>
    </xdr:from>
    <xdr:to>
      <xdr:col>8</xdr:col>
      <xdr:colOff>588536</xdr:colOff>
      <xdr:row>22</xdr:row>
      <xdr:rowOff>159835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84FAD-C53A-43AA-AEB8-CA675328A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99122</xdr:colOff>
      <xdr:row>17</xdr:row>
      <xdr:rowOff>99121</xdr:rowOff>
    </xdr:from>
    <xdr:to>
      <xdr:col>16</xdr:col>
      <xdr:colOff>359318</xdr:colOff>
      <xdr:row>26</xdr:row>
      <xdr:rowOff>49561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D588C3-6EAE-7F6E-4FB8-29EF3064F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" refreshedDate="46262.902347685187" createdVersion="8" refreshedVersion="8" minRefreshableVersion="3" recordCount="10" xr:uid="{DEB74475-3B3A-4642-814D-D5A743D8CDC1}">
  <cacheSource type="worksheet">
    <worksheetSource ref="N1:O11" sheet="Sheet2"/>
  </cacheSource>
  <cacheFields count="2">
    <cacheField name="NAMES" numFmtId="0">
      <sharedItems count="10">
        <s v="Aman "/>
        <s v="Pavan"/>
        <s v="Krishna"/>
        <s v="Anil"/>
        <s v="Prasad"/>
        <s v="Satya"/>
        <s v="Sappa"/>
        <s v="Ammu"/>
        <s v="Sindhu"/>
        <s v="Sanjana"/>
      </sharedItems>
    </cacheField>
    <cacheField name="TOTAL" numFmtId="0">
      <sharedItems containsSemiMixedTypes="0" containsString="0" containsNumber="1" containsInteger="1" minValue="253" maxValue="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59"/>
  </r>
  <r>
    <x v="1"/>
    <n v="263"/>
  </r>
  <r>
    <x v="2"/>
    <n v="253"/>
  </r>
  <r>
    <x v="3"/>
    <n v="257"/>
  </r>
  <r>
    <x v="4"/>
    <n v="274"/>
  </r>
  <r>
    <x v="5"/>
    <n v="285"/>
  </r>
  <r>
    <x v="6"/>
    <n v="278"/>
  </r>
  <r>
    <x v="7"/>
    <n v="271"/>
  </r>
  <r>
    <x v="8"/>
    <n v="267"/>
  </r>
  <r>
    <x v="9"/>
    <n v="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145DE-F755-458C-B793-EB1F376D75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2" firstHeaderRow="1" firstDataRow="1" firstDataCol="1"/>
  <pivotFields count="2">
    <pivotField axis="axisRow" showAll="0">
      <items count="11">
        <item x="0"/>
        <item x="7"/>
        <item x="3"/>
        <item x="2"/>
        <item x="1"/>
        <item x="4"/>
        <item x="9"/>
        <item x="6"/>
        <item x="5"/>
        <item x="8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A12C-EF76-4B54-A34F-1DAE9DF59E12}">
  <dimension ref="A1:O12"/>
  <sheetViews>
    <sheetView workbookViewId="0">
      <selection activeCell="R16" sqref="R16"/>
    </sheetView>
  </sheetViews>
  <sheetFormatPr defaultRowHeight="14.4" x14ac:dyDescent="0.3"/>
  <cols>
    <col min="1" max="1" width="11" customWidth="1"/>
    <col min="2" max="2" width="10.6640625" customWidth="1"/>
    <col min="3" max="3" width="10.44140625" customWidth="1"/>
    <col min="4" max="4" width="10" customWidth="1"/>
    <col min="5" max="5" width="9.77734375" customWidth="1"/>
    <col min="11" max="11" width="10" customWidth="1"/>
    <col min="12" max="12" width="9.77734375" customWidth="1"/>
  </cols>
  <sheetData>
    <row r="1" spans="1:15" x14ac:dyDescent="0.3">
      <c r="A1" s="5" t="s">
        <v>32</v>
      </c>
      <c r="B1" s="5" t="s">
        <v>4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31</v>
      </c>
      <c r="N1" s="5" t="s">
        <v>4</v>
      </c>
      <c r="O1" s="5" t="s">
        <v>14</v>
      </c>
    </row>
    <row r="2" spans="1:15" x14ac:dyDescent="0.3">
      <c r="A2" s="1">
        <v>101</v>
      </c>
      <c r="B2" s="1" t="s">
        <v>5</v>
      </c>
      <c r="C2" s="1">
        <v>89</v>
      </c>
      <c r="D2" s="1">
        <v>81</v>
      </c>
      <c r="E2" s="1">
        <v>89</v>
      </c>
      <c r="F2" s="1">
        <f>SUM(C2,D2,E2)</f>
        <v>259</v>
      </c>
      <c r="G2" s="2">
        <f>AVERAGE(C2,D2,E2)</f>
        <v>86.333333333333329</v>
      </c>
      <c r="H2" s="1" t="str">
        <f>IF(C2&gt;=40,"PASS","FAIL")</f>
        <v>PASS</v>
      </c>
      <c r="I2" s="1">
        <f>MAX(C2,E2)</f>
        <v>89</v>
      </c>
      <c r="J2" s="1">
        <f>MIN(C2,E2)</f>
        <v>89</v>
      </c>
      <c r="K2" s="1">
        <f>MAX(F2:F11)</f>
        <v>285</v>
      </c>
      <c r="L2" s="1">
        <f>MIN(F2:F11)</f>
        <v>253</v>
      </c>
      <c r="M2" s="1" t="str">
        <f>IF(G2&gt;=90,"A+",IF(G2&gt;=80,"A",IF(G2&gt;=70,"B",IF(G2&gt;=60,"C",IF(G2&gt;=50,"D","F")))))</f>
        <v>A</v>
      </c>
      <c r="N2" s="1" t="s">
        <v>5</v>
      </c>
      <c r="O2" s="1">
        <f>SUM(L2,M2,N2)</f>
        <v>253</v>
      </c>
    </row>
    <row r="3" spans="1:15" x14ac:dyDescent="0.3">
      <c r="A3" s="1">
        <v>102</v>
      </c>
      <c r="B3" s="1" t="s">
        <v>2</v>
      </c>
      <c r="C3" s="1">
        <v>91</v>
      </c>
      <c r="D3" s="1">
        <v>85</v>
      </c>
      <c r="E3" s="1">
        <v>87</v>
      </c>
      <c r="F3" s="1">
        <f>F2</f>
        <v>259</v>
      </c>
      <c r="G3" s="2">
        <f>AVERAGE(C3,D3,E3)</f>
        <v>87.666666666666671</v>
      </c>
      <c r="H3" s="1" t="str">
        <f>IF(C3&gt;=40,"PASS","FAIL")</f>
        <v>PASS</v>
      </c>
      <c r="I3" s="1">
        <f>MAX(C3,E3)</f>
        <v>91</v>
      </c>
      <c r="J3" s="1">
        <f>MIN(C3,E3)</f>
        <v>87</v>
      </c>
      <c r="K3" s="1"/>
      <c r="L3" s="1"/>
      <c r="M3" s="1" t="str">
        <f>IF(G2&gt;=90,"A+",IF(G2&gt;=80,"A",IF(G2&gt;=70,"B",IF(G2&gt;=60,"C",IF(G2&gt;=50,"D","F")))))</f>
        <v>A</v>
      </c>
      <c r="N3" s="1" t="s">
        <v>2</v>
      </c>
      <c r="O3" s="1">
        <v>263</v>
      </c>
    </row>
    <row r="4" spans="1:15" x14ac:dyDescent="0.3">
      <c r="A4" s="1">
        <v>103</v>
      </c>
      <c r="B4" s="1" t="s">
        <v>0</v>
      </c>
      <c r="C4" s="1">
        <v>78</v>
      </c>
      <c r="D4" s="1">
        <v>87</v>
      </c>
      <c r="E4" s="1">
        <v>88</v>
      </c>
      <c r="F4" s="1">
        <f t="shared" ref="F4:F10" si="0">SUM(C4,D4,E4)</f>
        <v>253</v>
      </c>
      <c r="G4" s="2">
        <f t="shared" ref="G4:G11" si="1">AVERAGE(C4,D4,E4)</f>
        <v>84.333333333333329</v>
      </c>
      <c r="H4" s="1" t="str">
        <f t="shared" ref="H4:H11" si="2">IF(C4&gt;=40,"PASS","FAIL")</f>
        <v>PASS</v>
      </c>
      <c r="I4" s="1">
        <f t="shared" ref="I4:I11" si="3">MAX(C4,E4)</f>
        <v>88</v>
      </c>
      <c r="J4" s="1">
        <f t="shared" ref="J4:J11" si="4">MIN(C4,E4)</f>
        <v>78</v>
      </c>
      <c r="K4" s="1"/>
      <c r="L4" s="1"/>
      <c r="M4" s="1" t="str">
        <f>IF(G2&gt;=90,"A+",IF(G2&gt;=80,"A",IF(G2&gt;=70,"B",IF(G2&gt;=60,"C",IF(G2&gt;=50,"D","F")))))</f>
        <v>A</v>
      </c>
      <c r="N4" s="1" t="s">
        <v>0</v>
      </c>
      <c r="O4" s="1">
        <v>253</v>
      </c>
    </row>
    <row r="5" spans="1:15" x14ac:dyDescent="0.3">
      <c r="A5" s="1">
        <v>104</v>
      </c>
      <c r="B5" s="1" t="s">
        <v>3</v>
      </c>
      <c r="C5" s="1">
        <v>82</v>
      </c>
      <c r="D5" s="1">
        <v>91</v>
      </c>
      <c r="E5" s="1">
        <v>84</v>
      </c>
      <c r="F5" s="1">
        <f t="shared" si="0"/>
        <v>257</v>
      </c>
      <c r="G5" s="2">
        <f t="shared" si="1"/>
        <v>85.666666666666671</v>
      </c>
      <c r="H5" s="1" t="str">
        <f t="shared" si="2"/>
        <v>PASS</v>
      </c>
      <c r="I5" s="1">
        <f t="shared" si="3"/>
        <v>84</v>
      </c>
      <c r="J5" s="1">
        <f t="shared" si="4"/>
        <v>82</v>
      </c>
      <c r="K5" s="1"/>
      <c r="L5" s="1"/>
      <c r="M5" s="1" t="str">
        <f t="shared" ref="M5" si="5">IF(G5&gt;=90,"A+",IF(G5&gt;=80,"A",IF(G5&gt;=70,"B",IF(G5&gt;=60,"C",IF(G5&gt;=50,"D","F")))))</f>
        <v>A</v>
      </c>
      <c r="N5" s="1" t="s">
        <v>3</v>
      </c>
      <c r="O5" s="1">
        <v>257</v>
      </c>
    </row>
    <row r="6" spans="1:15" x14ac:dyDescent="0.3">
      <c r="A6" s="1">
        <v>105</v>
      </c>
      <c r="B6" s="1" t="s">
        <v>1</v>
      </c>
      <c r="C6" s="1">
        <v>93</v>
      </c>
      <c r="D6" s="1">
        <v>95</v>
      </c>
      <c r="E6" s="1">
        <v>86</v>
      </c>
      <c r="F6" s="1">
        <f t="shared" si="0"/>
        <v>274</v>
      </c>
      <c r="G6" s="2">
        <f t="shared" si="1"/>
        <v>91.333333333333329</v>
      </c>
      <c r="H6" s="1" t="str">
        <f t="shared" si="2"/>
        <v>PASS</v>
      </c>
      <c r="I6" s="1">
        <f t="shared" si="3"/>
        <v>93</v>
      </c>
      <c r="J6" s="1">
        <f t="shared" si="4"/>
        <v>86</v>
      </c>
      <c r="K6" s="1"/>
      <c r="L6" s="1"/>
      <c r="M6" s="1" t="str">
        <f t="shared" ref="M6" si="6">IF(G5&gt;=90,"A+",IF(G5&gt;=80,"A",IF(G5&gt;=70,"B",IF(G5&gt;=60,"C",IF(G5&gt;=50,"D","F")))))</f>
        <v>A</v>
      </c>
      <c r="N6" s="1" t="s">
        <v>1</v>
      </c>
      <c r="O6" s="1">
        <v>274</v>
      </c>
    </row>
    <row r="7" spans="1:15" x14ac:dyDescent="0.3">
      <c r="A7" s="1">
        <v>106</v>
      </c>
      <c r="B7" s="1" t="s">
        <v>6</v>
      </c>
      <c r="C7" s="1">
        <v>94</v>
      </c>
      <c r="D7" s="1">
        <v>98</v>
      </c>
      <c r="E7" s="1">
        <v>93</v>
      </c>
      <c r="F7" s="1">
        <f t="shared" si="0"/>
        <v>285</v>
      </c>
      <c r="G7" s="2">
        <f t="shared" si="1"/>
        <v>95</v>
      </c>
      <c r="H7" s="1" t="str">
        <f t="shared" si="2"/>
        <v>PASS</v>
      </c>
      <c r="I7" s="1">
        <f t="shared" si="3"/>
        <v>94</v>
      </c>
      <c r="J7" s="1">
        <f t="shared" si="4"/>
        <v>93</v>
      </c>
      <c r="K7" s="1"/>
      <c r="L7" s="1"/>
      <c r="M7" s="1" t="str">
        <f t="shared" ref="M7" si="7">IF(G5&gt;=90,"A+",IF(G5&gt;=80,"A",IF(G5&gt;=70,"B",IF(G5&gt;=60,"C",IF(G5&gt;=50,"D","F")))))</f>
        <v>A</v>
      </c>
      <c r="N7" s="1" t="s">
        <v>6</v>
      </c>
      <c r="O7" s="1">
        <v>285</v>
      </c>
    </row>
    <row r="8" spans="1:15" x14ac:dyDescent="0.3">
      <c r="A8" s="1">
        <v>107</v>
      </c>
      <c r="B8" s="1" t="s">
        <v>7</v>
      </c>
      <c r="C8" s="1">
        <v>84</v>
      </c>
      <c r="D8" s="1">
        <v>99</v>
      </c>
      <c r="E8" s="1">
        <v>95</v>
      </c>
      <c r="F8" s="1">
        <f t="shared" si="0"/>
        <v>278</v>
      </c>
      <c r="G8" s="2">
        <f t="shared" si="1"/>
        <v>92.666666666666671</v>
      </c>
      <c r="H8" s="1" t="str">
        <f t="shared" si="2"/>
        <v>PASS</v>
      </c>
      <c r="I8" s="1">
        <f t="shared" si="3"/>
        <v>95</v>
      </c>
      <c r="J8" s="1">
        <f t="shared" si="4"/>
        <v>84</v>
      </c>
      <c r="K8" s="1"/>
      <c r="L8" s="1"/>
      <c r="M8" s="1" t="str">
        <f t="shared" ref="M8" si="8">IF(G8&gt;=90,"A+",IF(G8&gt;=80,"A",IF(G8&gt;=70,"B",IF(G8&gt;=60,"C",IF(G8&gt;=50,"D","F")))))</f>
        <v>A+</v>
      </c>
      <c r="N8" s="1" t="s">
        <v>7</v>
      </c>
      <c r="O8" s="1">
        <v>278</v>
      </c>
    </row>
    <row r="9" spans="1:15" x14ac:dyDescent="0.3">
      <c r="A9" s="1">
        <v>108</v>
      </c>
      <c r="B9" s="1" t="s">
        <v>8</v>
      </c>
      <c r="C9" s="1">
        <v>85</v>
      </c>
      <c r="D9" s="1">
        <v>87</v>
      </c>
      <c r="E9" s="1">
        <v>99</v>
      </c>
      <c r="F9" s="1">
        <f t="shared" si="0"/>
        <v>271</v>
      </c>
      <c r="G9" s="2">
        <f t="shared" si="1"/>
        <v>90.333333333333329</v>
      </c>
      <c r="H9" s="1" t="str">
        <f t="shared" si="2"/>
        <v>PASS</v>
      </c>
      <c r="I9" s="1">
        <f t="shared" si="3"/>
        <v>99</v>
      </c>
      <c r="J9" s="1">
        <f t="shared" si="4"/>
        <v>85</v>
      </c>
      <c r="K9" s="1"/>
      <c r="L9" s="1"/>
      <c r="M9" s="1" t="str">
        <f t="shared" ref="M9" si="9">IF(G8&gt;=90,"A+",IF(G8&gt;=80,"A",IF(G8&gt;=70,"B",IF(G8&gt;=60,"C",IF(G8&gt;=50,"D","F")))))</f>
        <v>A+</v>
      </c>
      <c r="N9" s="1" t="s">
        <v>8</v>
      </c>
      <c r="O9" s="1">
        <v>271</v>
      </c>
    </row>
    <row r="10" spans="1:15" x14ac:dyDescent="0.3">
      <c r="A10" s="1">
        <v>109</v>
      </c>
      <c r="B10" s="1" t="s">
        <v>9</v>
      </c>
      <c r="C10" s="1">
        <v>86</v>
      </c>
      <c r="D10" s="1">
        <v>89</v>
      </c>
      <c r="E10" s="1">
        <v>92</v>
      </c>
      <c r="F10" s="1">
        <f t="shared" si="0"/>
        <v>267</v>
      </c>
      <c r="G10" s="2">
        <f t="shared" si="1"/>
        <v>89</v>
      </c>
      <c r="H10" s="1" t="str">
        <f t="shared" si="2"/>
        <v>PASS</v>
      </c>
      <c r="I10" s="1">
        <f t="shared" si="3"/>
        <v>92</v>
      </c>
      <c r="J10" s="1">
        <f t="shared" si="4"/>
        <v>86</v>
      </c>
      <c r="K10" s="1"/>
      <c r="L10" s="1"/>
      <c r="M10" s="1" t="str">
        <f t="shared" ref="M10" si="10">IF(G8&gt;=90,"A+",IF(G8&gt;=80,"A",IF(G8&gt;=70,"B",IF(G8&gt;=60,"C",IF(G8&gt;=50,"D","F")))))</f>
        <v>A+</v>
      </c>
      <c r="N10" s="1" t="s">
        <v>9</v>
      </c>
      <c r="O10" s="1">
        <v>267</v>
      </c>
    </row>
    <row r="11" spans="1:15" x14ac:dyDescent="0.3">
      <c r="A11" s="1">
        <v>110</v>
      </c>
      <c r="B11" s="1" t="s">
        <v>10</v>
      </c>
      <c r="C11" s="1">
        <v>91</v>
      </c>
      <c r="D11" s="1">
        <v>90</v>
      </c>
      <c r="E11" s="1">
        <v>88</v>
      </c>
      <c r="F11" s="1">
        <f>SUM(C11,D11,E11)</f>
        <v>269</v>
      </c>
      <c r="G11" s="2">
        <f t="shared" si="1"/>
        <v>89.666666666666671</v>
      </c>
      <c r="H11" s="1" t="str">
        <f t="shared" si="2"/>
        <v>PASS</v>
      </c>
      <c r="I11" s="1">
        <f t="shared" si="3"/>
        <v>91</v>
      </c>
      <c r="J11" s="1">
        <f t="shared" si="4"/>
        <v>88</v>
      </c>
      <c r="K11" s="1"/>
      <c r="L11" s="1"/>
      <c r="M11" s="1" t="str">
        <f t="shared" ref="M11" si="11">IF(G11&gt;=90,"A+",IF(G11&gt;=80,"A",IF(G11&gt;=70,"B",IF(G11&gt;=60,"C",IF(G11&gt;=50,"D","F")))))</f>
        <v>A</v>
      </c>
      <c r="N11" s="1" t="s">
        <v>10</v>
      </c>
      <c r="O11" s="1">
        <v>269</v>
      </c>
    </row>
    <row r="12" spans="1:15" x14ac:dyDescent="0.3">
      <c r="A12" s="6"/>
      <c r="B12" s="6"/>
      <c r="C12" s="6"/>
      <c r="D12" s="6"/>
      <c r="E12" s="6"/>
      <c r="F12" s="6"/>
      <c r="G12" s="7"/>
      <c r="H12" s="6"/>
      <c r="I12" s="6"/>
    </row>
  </sheetData>
  <conditionalFormatting sqref="C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2">
    <cfRule type="containsText" dxfId="1" priority="2" operator="containsText" text="PASS">
      <formula>NOT(ISERROR(SEARCH("PASS",H2)))</formula>
    </cfRule>
  </conditionalFormatting>
  <conditionalFormatting sqref="L3">
    <cfRule type="containsText" dxfId="0" priority="4" operator="containsText" text="PASS">
      <formula>NOT(ISERROR(SEARCH("PASS",L3)))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6E02-7816-4B89-9AD1-423417329C18}">
  <dimension ref="A1:B12"/>
  <sheetViews>
    <sheetView workbookViewId="0"/>
  </sheetViews>
  <sheetFormatPr defaultRowHeight="14.4" x14ac:dyDescent="0.3"/>
  <cols>
    <col min="1" max="1" width="12.44140625" bestFit="1" customWidth="1"/>
    <col min="2" max="2" width="12.109375" bestFit="1" customWidth="1"/>
  </cols>
  <sheetData>
    <row r="1" spans="1:2" x14ac:dyDescent="0.3">
      <c r="A1" s="3" t="s">
        <v>21</v>
      </c>
      <c r="B1" t="s">
        <v>23</v>
      </c>
    </row>
    <row r="2" spans="1:2" x14ac:dyDescent="0.3">
      <c r="A2" s="4" t="s">
        <v>5</v>
      </c>
      <c r="B2">
        <v>259</v>
      </c>
    </row>
    <row r="3" spans="1:2" x14ac:dyDescent="0.3">
      <c r="A3" s="4" t="s">
        <v>8</v>
      </c>
      <c r="B3">
        <v>271</v>
      </c>
    </row>
    <row r="4" spans="1:2" x14ac:dyDescent="0.3">
      <c r="A4" s="4" t="s">
        <v>3</v>
      </c>
      <c r="B4">
        <v>257</v>
      </c>
    </row>
    <row r="5" spans="1:2" x14ac:dyDescent="0.3">
      <c r="A5" s="4" t="s">
        <v>0</v>
      </c>
      <c r="B5">
        <v>253</v>
      </c>
    </row>
    <row r="6" spans="1:2" x14ac:dyDescent="0.3">
      <c r="A6" s="4" t="s">
        <v>2</v>
      </c>
      <c r="B6">
        <v>263</v>
      </c>
    </row>
    <row r="7" spans="1:2" x14ac:dyDescent="0.3">
      <c r="A7" s="4" t="s">
        <v>1</v>
      </c>
      <c r="B7">
        <v>274</v>
      </c>
    </row>
    <row r="8" spans="1:2" x14ac:dyDescent="0.3">
      <c r="A8" s="4" t="s">
        <v>10</v>
      </c>
      <c r="B8">
        <v>269</v>
      </c>
    </row>
    <row r="9" spans="1:2" x14ac:dyDescent="0.3">
      <c r="A9" s="4" t="s">
        <v>7</v>
      </c>
      <c r="B9">
        <v>278</v>
      </c>
    </row>
    <row r="10" spans="1:2" x14ac:dyDescent="0.3">
      <c r="A10" s="4" t="s">
        <v>6</v>
      </c>
      <c r="B10">
        <v>285</v>
      </c>
    </row>
    <row r="11" spans="1:2" x14ac:dyDescent="0.3">
      <c r="A11" s="4" t="s">
        <v>9</v>
      </c>
      <c r="B11">
        <v>267</v>
      </c>
    </row>
    <row r="12" spans="1:2" x14ac:dyDescent="0.3">
      <c r="A12" s="4" t="s">
        <v>22</v>
      </c>
      <c r="B12">
        <v>2676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CDA5-A3C3-41C6-B0E9-9B5E417CDDAC}">
  <dimension ref="B1:L30"/>
  <sheetViews>
    <sheetView tabSelected="1" zoomScale="123" zoomScaleNormal="125" workbookViewId="0">
      <selection activeCell="B5" sqref="B5:C5"/>
    </sheetView>
  </sheetViews>
  <sheetFormatPr defaultRowHeight="14.4" x14ac:dyDescent="0.3"/>
  <cols>
    <col min="2" max="2" width="13.77734375" customWidth="1"/>
    <col min="4" max="4" width="12.33203125" customWidth="1"/>
  </cols>
  <sheetData>
    <row r="1" spans="2:12" x14ac:dyDescent="0.3">
      <c r="K1" s="11" t="s">
        <v>44</v>
      </c>
      <c r="L1" s="11"/>
    </row>
    <row r="2" spans="2:12" x14ac:dyDescent="0.3">
      <c r="B2" s="12" t="s">
        <v>24</v>
      </c>
      <c r="C2" s="12"/>
      <c r="D2" s="12"/>
      <c r="E2" s="12"/>
      <c r="F2" s="12"/>
      <c r="G2" s="12"/>
      <c r="H2" s="12"/>
      <c r="I2" s="12"/>
      <c r="K2" s="8" t="s">
        <v>31</v>
      </c>
      <c r="L2" s="8" t="s">
        <v>33</v>
      </c>
    </row>
    <row r="3" spans="2:12" x14ac:dyDescent="0.3">
      <c r="B3" s="12"/>
      <c r="C3" s="12"/>
      <c r="D3" s="12"/>
      <c r="E3" s="12"/>
      <c r="F3" s="12"/>
      <c r="G3" s="12"/>
      <c r="H3" s="12"/>
      <c r="I3" s="12"/>
      <c r="K3" s="2" t="s">
        <v>34</v>
      </c>
      <c r="L3" s="2">
        <f>COUNTIF(Sheet2!$M$2:$M$11,"A+")</f>
        <v>3</v>
      </c>
    </row>
    <row r="4" spans="2:12" x14ac:dyDescent="0.3">
      <c r="B4" s="13" t="s">
        <v>25</v>
      </c>
      <c r="C4" s="13"/>
      <c r="D4" s="13" t="s">
        <v>26</v>
      </c>
      <c r="E4" s="13"/>
      <c r="F4" s="13" t="s">
        <v>27</v>
      </c>
      <c r="G4" s="13"/>
      <c r="H4" s="13" t="s">
        <v>28</v>
      </c>
      <c r="I4" s="13"/>
      <c r="K4" s="2" t="s">
        <v>38</v>
      </c>
      <c r="L4" s="2">
        <f>COUNTIF(Sheet2!$M$2:$M$11,"A")</f>
        <v>7</v>
      </c>
    </row>
    <row r="5" spans="2:12" x14ac:dyDescent="0.3">
      <c r="B5" s="14">
        <v>10</v>
      </c>
      <c r="C5" s="14"/>
      <c r="D5" s="14">
        <v>89.2</v>
      </c>
      <c r="E5" s="14"/>
      <c r="F5" s="14">
        <v>285</v>
      </c>
      <c r="G5" s="14"/>
      <c r="H5" s="14">
        <v>253</v>
      </c>
      <c r="I5" s="14"/>
      <c r="K5" s="2" t="s">
        <v>35</v>
      </c>
      <c r="L5" s="2">
        <f>COUNTIF(Sheet2!$M$2:$M$11,"B")</f>
        <v>0</v>
      </c>
    </row>
    <row r="6" spans="2:12" x14ac:dyDescent="0.3">
      <c r="K6" s="2" t="s">
        <v>36</v>
      </c>
      <c r="L6" s="2">
        <f>COUNTIF(Sheet2!$M$2:$M$11,"C")</f>
        <v>0</v>
      </c>
    </row>
    <row r="7" spans="2:12" x14ac:dyDescent="0.3">
      <c r="K7" s="2" t="s">
        <v>37</v>
      </c>
      <c r="L7" s="2">
        <f>COUNTIF(Sheet2!$M$2:$M$11,"F")</f>
        <v>0</v>
      </c>
    </row>
    <row r="12" spans="2:12" x14ac:dyDescent="0.3">
      <c r="K12" s="11" t="s">
        <v>45</v>
      </c>
      <c r="L12" s="11"/>
    </row>
    <row r="13" spans="2:12" x14ac:dyDescent="0.3">
      <c r="K13" s="8" t="s">
        <v>39</v>
      </c>
      <c r="L13" s="8" t="s">
        <v>15</v>
      </c>
    </row>
    <row r="14" spans="2:12" x14ac:dyDescent="0.3">
      <c r="K14" s="2" t="s">
        <v>40</v>
      </c>
      <c r="L14" s="2">
        <f>AVERAGE(Sheet2!C2:C11)</f>
        <v>87.3</v>
      </c>
    </row>
    <row r="15" spans="2:12" x14ac:dyDescent="0.3">
      <c r="K15" s="2" t="s">
        <v>41</v>
      </c>
      <c r="L15" s="2">
        <f>AVERAGE(Sheet2!D2:D11)</f>
        <v>90.2</v>
      </c>
    </row>
    <row r="16" spans="2:12" x14ac:dyDescent="0.3">
      <c r="K16" s="2" t="s">
        <v>42</v>
      </c>
      <c r="L16" s="2">
        <f>AVERAGE(Sheet2!E2:E11)</f>
        <v>90.1</v>
      </c>
    </row>
    <row r="25" spans="2:7" x14ac:dyDescent="0.3">
      <c r="B25" s="15" t="s">
        <v>29</v>
      </c>
      <c r="C25" s="15"/>
      <c r="D25" s="16" t="s">
        <v>30</v>
      </c>
      <c r="E25" s="16"/>
      <c r="F25" s="10" t="s">
        <v>43</v>
      </c>
      <c r="G25" s="10"/>
    </row>
    <row r="26" spans="2:7" x14ac:dyDescent="0.3">
      <c r="B26" s="9">
        <v>10</v>
      </c>
      <c r="C26" s="9"/>
      <c r="D26" s="9">
        <v>0</v>
      </c>
      <c r="E26" s="9"/>
      <c r="F26" s="9">
        <f>AVERAGE(Sheet2!G2:G11)</f>
        <v>89.199999999999989</v>
      </c>
      <c r="G26" s="9"/>
    </row>
    <row r="29" spans="2:7" x14ac:dyDescent="0.3">
      <c r="B29" s="9"/>
      <c r="C29" s="9"/>
      <c r="D29" s="9"/>
      <c r="E29" s="9"/>
    </row>
    <row r="30" spans="2:7" x14ac:dyDescent="0.3">
      <c r="B30" s="9"/>
      <c r="C30" s="9"/>
      <c r="D30" s="9">
        <v>0</v>
      </c>
      <c r="E30" s="9"/>
    </row>
  </sheetData>
  <mergeCells count="21">
    <mergeCell ref="B29:C29"/>
    <mergeCell ref="B30:C30"/>
    <mergeCell ref="D29:E29"/>
    <mergeCell ref="D30:E30"/>
    <mergeCell ref="B2:I3"/>
    <mergeCell ref="B4:C4"/>
    <mergeCell ref="D4:E4"/>
    <mergeCell ref="F4:G4"/>
    <mergeCell ref="B5:C5"/>
    <mergeCell ref="D5:E5"/>
    <mergeCell ref="F5:G5"/>
    <mergeCell ref="H5:I5"/>
    <mergeCell ref="H4:I4"/>
    <mergeCell ref="B25:C25"/>
    <mergeCell ref="D25:E25"/>
    <mergeCell ref="B26:C26"/>
    <mergeCell ref="D26:E26"/>
    <mergeCell ref="F25:G25"/>
    <mergeCell ref="F26:G26"/>
    <mergeCell ref="K1:L1"/>
    <mergeCell ref="K12:L1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B16B-65D0-4BBF-AA4E-EA93E60EFB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BUNGA</dc:creator>
  <cp:lastModifiedBy>KRISHNA BUNGA</cp:lastModifiedBy>
  <dcterms:created xsi:type="dcterms:W3CDTF">2026-08-27T04:01:09Z</dcterms:created>
  <dcterms:modified xsi:type="dcterms:W3CDTF">2026-08-29T08:25:57Z</dcterms:modified>
</cp:coreProperties>
</file>